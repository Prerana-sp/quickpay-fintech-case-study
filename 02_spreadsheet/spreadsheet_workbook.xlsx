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6275" windowHeight="8010" activeTab="2"/>
  </bookViews>
  <sheets>
    <sheet name="transactions_raw" sheetId="1" r:id="rId1"/>
    <sheet name="cleaned" sheetId="2" r:id="rId2"/>
    <sheet name="merchant_risk_summary" sheetId="4" r:id="rId3"/>
  </sheets>
  <calcPr calcId="144525"/>
</workbook>
</file>

<file path=xl/calcChain.xml><?xml version="1.0" encoding="utf-8"?>
<calcChain xmlns="http://schemas.openxmlformats.org/spreadsheetml/2006/main">
  <c r="E3" i="4" l="1"/>
  <c r="E4" i="4"/>
  <c r="E5" i="4"/>
  <c r="E6" i="4"/>
  <c r="D3" i="4"/>
  <c r="D4" i="4"/>
  <c r="D5" i="4"/>
  <c r="D6" i="4"/>
  <c r="C3" i="4"/>
  <c r="C4" i="4"/>
  <c r="C5" i="4"/>
  <c r="C6" i="4"/>
  <c r="B3" i="4"/>
  <c r="B4" i="4"/>
  <c r="B5" i="4"/>
  <c r="B6" i="4"/>
  <c r="E2" i="4"/>
  <c r="D2" i="4"/>
  <c r="C2" i="4"/>
  <c r="B2" i="4"/>
  <c r="N2" i="2" l="1"/>
  <c r="R2" i="2" s="1"/>
  <c r="N3" i="2"/>
  <c r="N4" i="2"/>
  <c r="N5" i="2"/>
  <c r="R5" i="2" s="1"/>
  <c r="N6" i="2"/>
  <c r="N7" i="2"/>
  <c r="N8" i="2"/>
  <c r="N9" i="2"/>
  <c r="R9" i="2" s="1"/>
  <c r="N10" i="2"/>
  <c r="N11" i="2"/>
  <c r="N13" i="2"/>
  <c r="N14" i="2"/>
  <c r="R14" i="2" s="1"/>
  <c r="N15" i="2"/>
  <c r="N16" i="2"/>
  <c r="N17" i="2"/>
  <c r="N18" i="2"/>
  <c r="R18" i="2" s="1"/>
  <c r="N19" i="2"/>
  <c r="N20" i="2"/>
  <c r="N21" i="2"/>
  <c r="N22" i="2"/>
  <c r="R22" i="2" s="1"/>
  <c r="N23" i="2"/>
  <c r="N24" i="2"/>
  <c r="N25" i="2"/>
  <c r="N26" i="2"/>
  <c r="R26" i="2" s="1"/>
  <c r="N27" i="2"/>
  <c r="N28" i="2"/>
  <c r="N29" i="2"/>
  <c r="N30" i="2"/>
  <c r="R30" i="2" s="1"/>
  <c r="N31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2" i="2"/>
  <c r="R3" i="2"/>
  <c r="R4" i="2"/>
  <c r="R6" i="2"/>
  <c r="R7" i="2"/>
  <c r="R8" i="2"/>
  <c r="R10" i="2"/>
  <c r="R11" i="2"/>
  <c r="R12" i="2"/>
  <c r="R13" i="2"/>
  <c r="R15" i="2"/>
  <c r="R16" i="2"/>
  <c r="R17" i="2"/>
  <c r="R19" i="2"/>
  <c r="R20" i="2"/>
  <c r="R21" i="2"/>
  <c r="R23" i="2"/>
  <c r="R24" i="2"/>
  <c r="R25" i="2"/>
  <c r="R27" i="2"/>
  <c r="R28" i="2"/>
  <c r="R29" i="2"/>
  <c r="R31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2" i="2"/>
  <c r="O3" i="2"/>
  <c r="O4" i="2"/>
  <c r="O5" i="2"/>
  <c r="Q5" i="2" s="1"/>
  <c r="O6" i="2"/>
  <c r="Q6" i="2" s="1"/>
  <c r="O7" i="2"/>
  <c r="O8" i="2"/>
  <c r="O9" i="2"/>
  <c r="Q9" i="2" s="1"/>
  <c r="O10" i="2"/>
  <c r="Q10" i="2" s="1"/>
  <c r="O11" i="2"/>
  <c r="O12" i="2"/>
  <c r="O13" i="2"/>
  <c r="Q13" i="2" s="1"/>
  <c r="O14" i="2"/>
  <c r="Q14" i="2" s="1"/>
  <c r="O15" i="2"/>
  <c r="O16" i="2"/>
  <c r="O17" i="2"/>
  <c r="Q17" i="2" s="1"/>
  <c r="O18" i="2"/>
  <c r="Q18" i="2" s="1"/>
  <c r="O19" i="2"/>
  <c r="O20" i="2"/>
  <c r="O21" i="2"/>
  <c r="Q21" i="2" s="1"/>
  <c r="O22" i="2"/>
  <c r="Q22" i="2" s="1"/>
  <c r="O23" i="2"/>
  <c r="O24" i="2"/>
  <c r="O25" i="2"/>
  <c r="Q25" i="2" s="1"/>
  <c r="O26" i="2"/>
  <c r="Q26" i="2" s="1"/>
  <c r="O27" i="2"/>
  <c r="O28" i="2"/>
  <c r="O29" i="2"/>
  <c r="Q29" i="2" s="1"/>
  <c r="O30" i="2"/>
  <c r="Q30" i="2" s="1"/>
  <c r="O31" i="2"/>
  <c r="O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2" i="2"/>
  <c r="Q31" i="2" l="1"/>
  <c r="Q27" i="2"/>
  <c r="Q23" i="2"/>
  <c r="Q19" i="2"/>
  <c r="Q15" i="2"/>
  <c r="Q11" i="2"/>
  <c r="Q7" i="2"/>
  <c r="Q3" i="2"/>
  <c r="Q2" i="2"/>
  <c r="Q28" i="2"/>
  <c r="Q24" i="2"/>
  <c r="Q20" i="2"/>
  <c r="Q16" i="2"/>
  <c r="Q12" i="2"/>
  <c r="Q8" i="2"/>
  <c r="Q4" i="2"/>
</calcChain>
</file>

<file path=xl/sharedStrings.xml><?xml version="1.0" encoding="utf-8"?>
<sst xmlns="http://schemas.openxmlformats.org/spreadsheetml/2006/main" count="474" uniqueCount="117">
  <si>
    <t>transaction_id</t>
  </si>
  <si>
    <t>transaction_date</t>
  </si>
  <si>
    <t>merchant_name</t>
  </si>
  <si>
    <t>raw_amount</t>
  </si>
  <si>
    <t>currency</t>
  </si>
  <si>
    <t>status</t>
  </si>
  <si>
    <t>risk_score</t>
  </si>
  <si>
    <t>gateway_region</t>
  </si>
  <si>
    <t>user_id</t>
  </si>
  <si>
    <t>payment_method</t>
  </si>
  <si>
    <t>T001</t>
  </si>
  <si>
    <t xml:space="preserve"> alpha mart </t>
  </si>
  <si>
    <t>INR</t>
  </si>
  <si>
    <t>captured</t>
  </si>
  <si>
    <t>score:62</t>
  </si>
  <si>
    <t>APAC</t>
  </si>
  <si>
    <t>U001</t>
  </si>
  <si>
    <t>UPI</t>
  </si>
  <si>
    <t>T002</t>
  </si>
  <si>
    <t>ALPHA MART</t>
  </si>
  <si>
    <t xml:space="preserve">Captured </t>
  </si>
  <si>
    <t>U002</t>
  </si>
  <si>
    <t>Card</t>
  </si>
  <si>
    <t>T003</t>
  </si>
  <si>
    <t xml:space="preserve">BETA STORES </t>
  </si>
  <si>
    <t xml:space="preserve"> CAPTURED</t>
  </si>
  <si>
    <t xml:space="preserve"> APAC </t>
  </si>
  <si>
    <t>U003</t>
  </si>
  <si>
    <t>NetBanking</t>
  </si>
  <si>
    <t>T004</t>
  </si>
  <si>
    <t>Beta  Stores</t>
  </si>
  <si>
    <t xml:space="preserve"> failed e05 timeout </t>
  </si>
  <si>
    <t>apac</t>
  </si>
  <si>
    <t>U004</t>
  </si>
  <si>
    <t>T005</t>
  </si>
  <si>
    <t>Alpha Mart</t>
  </si>
  <si>
    <t>T006</t>
  </si>
  <si>
    <t>score:64</t>
  </si>
  <si>
    <t>U005</t>
  </si>
  <si>
    <t>Wallet</t>
  </si>
  <si>
    <t>T007</t>
  </si>
  <si>
    <t>Alpha  Mart</t>
  </si>
  <si>
    <t>chargeback</t>
  </si>
  <si>
    <t>risk-83</t>
  </si>
  <si>
    <t>U006</t>
  </si>
  <si>
    <t>T008</t>
  </si>
  <si>
    <t>U007</t>
  </si>
  <si>
    <t>T009</t>
  </si>
  <si>
    <t>T010</t>
  </si>
  <si>
    <t>Beta Stores</t>
  </si>
  <si>
    <t>risk-77</t>
  </si>
  <si>
    <t>T011</t>
  </si>
  <si>
    <t>FAILED e05 TIMEOUT</t>
  </si>
  <si>
    <t>U008</t>
  </si>
  <si>
    <t>T012</t>
  </si>
  <si>
    <t xml:space="preserve">captured </t>
  </si>
  <si>
    <t>risk-61</t>
  </si>
  <si>
    <t>U009</t>
  </si>
  <si>
    <t>T013</t>
  </si>
  <si>
    <t>score:54</t>
  </si>
  <si>
    <t>U010</t>
  </si>
  <si>
    <t>T014</t>
  </si>
  <si>
    <t>risk-73</t>
  </si>
  <si>
    <t>T015</t>
  </si>
  <si>
    <t>score:52</t>
  </si>
  <si>
    <t>T016</t>
  </si>
  <si>
    <t>failed E05 timeout</t>
  </si>
  <si>
    <t>risk-69</t>
  </si>
  <si>
    <t>T017</t>
  </si>
  <si>
    <t>Failed E05 Timeout</t>
  </si>
  <si>
    <t>score:72</t>
  </si>
  <si>
    <t>T018</t>
  </si>
  <si>
    <t xml:space="preserve"> chargeback </t>
  </si>
  <si>
    <t>risk-86</t>
  </si>
  <si>
    <t>T019</t>
  </si>
  <si>
    <t>score:67</t>
  </si>
  <si>
    <t>T020</t>
  </si>
  <si>
    <t>T021</t>
  </si>
  <si>
    <t xml:space="preserve"> beta stores</t>
  </si>
  <si>
    <t>score:63</t>
  </si>
  <si>
    <t>T022</t>
  </si>
  <si>
    <t>T023</t>
  </si>
  <si>
    <t>City Pharma</t>
  </si>
  <si>
    <t>EUR</t>
  </si>
  <si>
    <t xml:space="preserve"> EU </t>
  </si>
  <si>
    <t>T024</t>
  </si>
  <si>
    <t>Eco Home</t>
  </si>
  <si>
    <t>score:65</t>
  </si>
  <si>
    <t>EU</t>
  </si>
  <si>
    <t>T025</t>
  </si>
  <si>
    <t>eu</t>
  </si>
  <si>
    <t>T026</t>
  </si>
  <si>
    <t>T027</t>
  </si>
  <si>
    <t>DELTA TRAVELS</t>
  </si>
  <si>
    <t>USD</t>
  </si>
  <si>
    <t>us</t>
  </si>
  <si>
    <t>T028</t>
  </si>
  <si>
    <t>Delta Travels</t>
  </si>
  <si>
    <t>risk-41</t>
  </si>
  <si>
    <t>US</t>
  </si>
  <si>
    <t>T029</t>
  </si>
  <si>
    <t xml:space="preserve">delta travels </t>
  </si>
  <si>
    <t>score:58</t>
  </si>
  <si>
    <t>T030</t>
  </si>
  <si>
    <t>score:47</t>
  </si>
  <si>
    <t>clean_merchant</t>
  </si>
  <si>
    <t>clean_date</t>
  </si>
  <si>
    <t>clean_status</t>
  </si>
  <si>
    <t>clean_risk_score</t>
  </si>
  <si>
    <t>clean_region</t>
  </si>
  <si>
    <t>amount_usd</t>
  </si>
  <si>
    <t>high_value_flag</t>
  </si>
  <si>
    <t>high_risk_flag</t>
  </si>
  <si>
    <t>total_transactions</t>
  </si>
  <si>
    <t>total_amount_usd</t>
  </si>
  <si>
    <t>avg_risk_score</t>
  </si>
  <si>
    <t>high_risk_count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</si>
</sst>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vertical="center" wrapText="1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selection activeCell="C8" sqref="C8"/>
    </sheetView>
  </sheetViews>
  <sheetFormatPr defaultRowHeight="15" x14ac:dyDescent="0.25"/>
  <cols>
    <col min="1" max="1" width="18.140625" customWidth="1"/>
    <col min="2" max="2" width="15" customWidth="1"/>
    <col min="3" max="3" width="18.85546875" customWidth="1"/>
    <col min="4" max="4" width="16.85546875" customWidth="1"/>
    <col min="5" max="5" width="10.28515625" customWidth="1"/>
    <col min="6" max="6" width="20" customWidth="1"/>
    <col min="7" max="7" width="17.140625" customWidth="1"/>
    <col min="8" max="8" width="14.7109375" customWidth="1"/>
    <col min="10" max="10" width="18.5703125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 t="s">
        <v>10</v>
      </c>
      <c r="B2" s="3">
        <v>46082</v>
      </c>
      <c r="C2" s="2" t="s">
        <v>11</v>
      </c>
      <c r="D2" s="2">
        <v>420000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x14ac:dyDescent="0.25">
      <c r="A3" s="2" t="s">
        <v>18</v>
      </c>
      <c r="B3" s="3">
        <v>46082</v>
      </c>
      <c r="C3" s="2" t="s">
        <v>19</v>
      </c>
      <c r="D3" s="2">
        <v>210000</v>
      </c>
      <c r="E3" s="2" t="s">
        <v>12</v>
      </c>
      <c r="F3" s="2" t="s">
        <v>20</v>
      </c>
      <c r="G3" s="2">
        <v>55</v>
      </c>
      <c r="H3" s="2"/>
      <c r="I3" s="2" t="s">
        <v>21</v>
      </c>
      <c r="J3" s="2" t="s">
        <v>22</v>
      </c>
    </row>
    <row r="4" spans="1:10" x14ac:dyDescent="0.25">
      <c r="A4" s="2" t="s">
        <v>23</v>
      </c>
      <c r="B4" s="3">
        <v>46082</v>
      </c>
      <c r="C4" s="2" t="s">
        <v>24</v>
      </c>
      <c r="D4" s="2">
        <v>510000</v>
      </c>
      <c r="E4" s="2" t="s">
        <v>12</v>
      </c>
      <c r="F4" s="2" t="s">
        <v>25</v>
      </c>
      <c r="G4" s="2">
        <v>71</v>
      </c>
      <c r="H4" s="2" t="s">
        <v>26</v>
      </c>
      <c r="I4" s="2" t="s">
        <v>27</v>
      </c>
      <c r="J4" s="2" t="s">
        <v>28</v>
      </c>
    </row>
    <row r="5" spans="1:10" x14ac:dyDescent="0.25">
      <c r="A5" s="2" t="s">
        <v>29</v>
      </c>
      <c r="B5" s="3">
        <v>46083</v>
      </c>
      <c r="C5" s="2" t="s">
        <v>30</v>
      </c>
      <c r="D5" s="2">
        <v>160000</v>
      </c>
      <c r="E5" s="2" t="s">
        <v>12</v>
      </c>
      <c r="F5" s="2" t="s">
        <v>31</v>
      </c>
      <c r="G5" s="2">
        <v>68</v>
      </c>
      <c r="H5" s="2" t="s">
        <v>32</v>
      </c>
      <c r="I5" s="2" t="s">
        <v>33</v>
      </c>
      <c r="J5" s="2" t="s">
        <v>22</v>
      </c>
    </row>
    <row r="6" spans="1:10" x14ac:dyDescent="0.25">
      <c r="A6" s="2" t="s">
        <v>34</v>
      </c>
      <c r="B6" s="3">
        <v>46083</v>
      </c>
      <c r="C6" s="2" t="s">
        <v>35</v>
      </c>
      <c r="D6" s="2">
        <v>390000</v>
      </c>
      <c r="E6" s="2" t="s">
        <v>12</v>
      </c>
      <c r="F6" s="2" t="s">
        <v>25</v>
      </c>
      <c r="G6" s="2">
        <v>58</v>
      </c>
      <c r="H6" s="2"/>
      <c r="I6" s="2" t="s">
        <v>16</v>
      </c>
      <c r="J6" s="2" t="s">
        <v>17</v>
      </c>
    </row>
    <row r="7" spans="1:10" x14ac:dyDescent="0.25">
      <c r="A7" s="2" t="s">
        <v>36</v>
      </c>
      <c r="B7" s="3">
        <v>46083</v>
      </c>
      <c r="C7" s="2" t="s">
        <v>30</v>
      </c>
      <c r="D7" s="2">
        <v>275000</v>
      </c>
      <c r="E7" s="2" t="s">
        <v>12</v>
      </c>
      <c r="F7" s="2" t="s">
        <v>20</v>
      </c>
      <c r="G7" s="2" t="s">
        <v>37</v>
      </c>
      <c r="H7" s="2"/>
      <c r="I7" s="2" t="s">
        <v>38</v>
      </c>
      <c r="J7" s="2" t="s">
        <v>39</v>
      </c>
    </row>
    <row r="8" spans="1:10" x14ac:dyDescent="0.25">
      <c r="A8" s="2" t="s">
        <v>40</v>
      </c>
      <c r="B8" s="3">
        <v>46083</v>
      </c>
      <c r="C8" s="2" t="s">
        <v>41</v>
      </c>
      <c r="D8" s="2">
        <v>450000</v>
      </c>
      <c r="E8" s="2" t="s">
        <v>12</v>
      </c>
      <c r="F8" s="2" t="s">
        <v>42</v>
      </c>
      <c r="G8" s="2" t="s">
        <v>43</v>
      </c>
      <c r="H8" s="2" t="s">
        <v>26</v>
      </c>
      <c r="I8" s="2" t="s">
        <v>44</v>
      </c>
      <c r="J8" s="2" t="s">
        <v>22</v>
      </c>
    </row>
    <row r="9" spans="1:10" x14ac:dyDescent="0.25">
      <c r="A9" s="2" t="s">
        <v>45</v>
      </c>
      <c r="B9" s="3">
        <v>46084</v>
      </c>
      <c r="C9" s="2" t="s">
        <v>24</v>
      </c>
      <c r="D9" s="2">
        <v>340000</v>
      </c>
      <c r="E9" s="2" t="s">
        <v>12</v>
      </c>
      <c r="F9" s="2" t="s">
        <v>20</v>
      </c>
      <c r="G9" s="2">
        <v>59</v>
      </c>
      <c r="H9" s="2"/>
      <c r="I9" s="2" t="s">
        <v>46</v>
      </c>
      <c r="J9" s="2" t="s">
        <v>17</v>
      </c>
    </row>
    <row r="10" spans="1:10" x14ac:dyDescent="0.25">
      <c r="A10" s="2" t="s">
        <v>47</v>
      </c>
      <c r="B10" s="3">
        <v>46084</v>
      </c>
      <c r="C10" s="2" t="s">
        <v>35</v>
      </c>
      <c r="D10" s="2">
        <v>125000</v>
      </c>
      <c r="E10" s="2" t="s">
        <v>12</v>
      </c>
      <c r="F10" s="2" t="s">
        <v>13</v>
      </c>
      <c r="G10" s="2">
        <v>46</v>
      </c>
      <c r="H10" s="2" t="s">
        <v>15</v>
      </c>
      <c r="I10" s="2" t="s">
        <v>21</v>
      </c>
      <c r="J10" s="2" t="s">
        <v>39</v>
      </c>
    </row>
    <row r="11" spans="1:10" x14ac:dyDescent="0.25">
      <c r="A11" s="2" t="s">
        <v>48</v>
      </c>
      <c r="B11" s="3">
        <v>46084</v>
      </c>
      <c r="C11" s="2" t="s">
        <v>49</v>
      </c>
      <c r="D11" s="2">
        <v>610000</v>
      </c>
      <c r="E11" s="2" t="s">
        <v>12</v>
      </c>
      <c r="F11" s="2" t="s">
        <v>13</v>
      </c>
      <c r="G11" s="2" t="s">
        <v>50</v>
      </c>
      <c r="H11" s="2"/>
      <c r="I11" s="2" t="s">
        <v>27</v>
      </c>
      <c r="J11" s="2" t="s">
        <v>22</v>
      </c>
    </row>
    <row r="12" spans="1:10" x14ac:dyDescent="0.25">
      <c r="A12" s="2" t="s">
        <v>51</v>
      </c>
      <c r="B12" s="3">
        <v>46084</v>
      </c>
      <c r="C12" s="2" t="s">
        <v>41</v>
      </c>
      <c r="D12" s="2">
        <v>195000</v>
      </c>
      <c r="E12" s="2" t="s">
        <v>12</v>
      </c>
      <c r="F12" s="2" t="s">
        <v>52</v>
      </c>
      <c r="G12" s="2"/>
      <c r="H12" s="2"/>
      <c r="I12" s="2" t="s">
        <v>53</v>
      </c>
      <c r="J12" s="2" t="s">
        <v>17</v>
      </c>
    </row>
    <row r="13" spans="1:10" x14ac:dyDescent="0.25">
      <c r="A13" s="2" t="s">
        <v>54</v>
      </c>
      <c r="B13" s="3">
        <v>46085</v>
      </c>
      <c r="C13" s="2" t="s">
        <v>30</v>
      </c>
      <c r="D13" s="2">
        <v>250000</v>
      </c>
      <c r="E13" s="2" t="s">
        <v>12</v>
      </c>
      <c r="F13" s="2" t="s">
        <v>55</v>
      </c>
      <c r="G13" s="2" t="s">
        <v>56</v>
      </c>
      <c r="H13" s="2" t="s">
        <v>26</v>
      </c>
      <c r="I13" s="2" t="s">
        <v>57</v>
      </c>
      <c r="J13" s="2" t="s">
        <v>22</v>
      </c>
    </row>
    <row r="14" spans="1:10" x14ac:dyDescent="0.25">
      <c r="A14" s="2" t="s">
        <v>58</v>
      </c>
      <c r="B14" s="3">
        <v>46085</v>
      </c>
      <c r="C14" s="2" t="s">
        <v>11</v>
      </c>
      <c r="D14" s="2">
        <v>310000</v>
      </c>
      <c r="E14" s="2" t="s">
        <v>12</v>
      </c>
      <c r="F14" s="2" t="s">
        <v>55</v>
      </c>
      <c r="G14" s="2" t="s">
        <v>59</v>
      </c>
      <c r="H14" s="2" t="s">
        <v>15</v>
      </c>
      <c r="I14" s="2" t="s">
        <v>60</v>
      </c>
      <c r="J14" s="2" t="s">
        <v>17</v>
      </c>
    </row>
    <row r="15" spans="1:10" x14ac:dyDescent="0.25">
      <c r="A15" s="2" t="s">
        <v>61</v>
      </c>
      <c r="B15" s="3">
        <v>46085</v>
      </c>
      <c r="C15" s="2" t="s">
        <v>30</v>
      </c>
      <c r="D15" s="2">
        <v>470000</v>
      </c>
      <c r="E15" s="2" t="s">
        <v>12</v>
      </c>
      <c r="F15" s="2" t="s">
        <v>55</v>
      </c>
      <c r="G15" s="2" t="s">
        <v>62</v>
      </c>
      <c r="H15" s="2" t="s">
        <v>15</v>
      </c>
      <c r="I15" s="2" t="s">
        <v>16</v>
      </c>
      <c r="J15" s="2" t="s">
        <v>28</v>
      </c>
    </row>
    <row r="16" spans="1:10" x14ac:dyDescent="0.25">
      <c r="A16" s="2" t="s">
        <v>63</v>
      </c>
      <c r="B16" s="3">
        <v>46085</v>
      </c>
      <c r="C16" s="2" t="s">
        <v>35</v>
      </c>
      <c r="D16" s="2">
        <v>130000</v>
      </c>
      <c r="E16" s="2" t="s">
        <v>12</v>
      </c>
      <c r="F16" s="2" t="s">
        <v>13</v>
      </c>
      <c r="G16" s="2" t="s">
        <v>64</v>
      </c>
      <c r="H16" s="2"/>
      <c r="I16" s="2" t="s">
        <v>21</v>
      </c>
      <c r="J16" s="2" t="s">
        <v>22</v>
      </c>
    </row>
    <row r="17" spans="1:10" x14ac:dyDescent="0.25">
      <c r="A17" s="2" t="s">
        <v>65</v>
      </c>
      <c r="B17" s="3">
        <v>46086</v>
      </c>
      <c r="C17" s="2" t="s">
        <v>30</v>
      </c>
      <c r="D17" s="2">
        <v>220000</v>
      </c>
      <c r="E17" s="2" t="s">
        <v>12</v>
      </c>
      <c r="F17" s="2" t="s">
        <v>66</v>
      </c>
      <c r="G17" s="2" t="s">
        <v>67</v>
      </c>
      <c r="H17" s="2"/>
      <c r="I17" s="2" t="s">
        <v>53</v>
      </c>
      <c r="J17" s="2" t="s">
        <v>22</v>
      </c>
    </row>
    <row r="18" spans="1:10" x14ac:dyDescent="0.25">
      <c r="A18" s="2" t="s">
        <v>68</v>
      </c>
      <c r="B18" s="3">
        <v>46086</v>
      </c>
      <c r="C18" s="2" t="s">
        <v>30</v>
      </c>
      <c r="D18" s="2">
        <v>180000</v>
      </c>
      <c r="E18" s="2" t="s">
        <v>12</v>
      </c>
      <c r="F18" s="2" t="s">
        <v>69</v>
      </c>
      <c r="G18" s="2" t="s">
        <v>70</v>
      </c>
      <c r="H18" s="2" t="s">
        <v>32</v>
      </c>
      <c r="I18" s="2" t="s">
        <v>53</v>
      </c>
      <c r="J18" s="2" t="s">
        <v>22</v>
      </c>
    </row>
    <row r="19" spans="1:10" x14ac:dyDescent="0.25">
      <c r="A19" s="2" t="s">
        <v>71</v>
      </c>
      <c r="B19" s="3">
        <v>46086</v>
      </c>
      <c r="C19" s="2" t="s">
        <v>24</v>
      </c>
      <c r="D19" s="2">
        <v>145000</v>
      </c>
      <c r="E19" s="2" t="s">
        <v>12</v>
      </c>
      <c r="F19" s="2" t="s">
        <v>72</v>
      </c>
      <c r="G19" s="2" t="s">
        <v>73</v>
      </c>
      <c r="H19" s="2" t="s">
        <v>26</v>
      </c>
      <c r="I19" s="2" t="s">
        <v>53</v>
      </c>
      <c r="J19" s="2" t="s">
        <v>17</v>
      </c>
    </row>
    <row r="20" spans="1:10" x14ac:dyDescent="0.25">
      <c r="A20" s="2" t="s">
        <v>74</v>
      </c>
      <c r="B20" s="3">
        <v>46086</v>
      </c>
      <c r="C20" s="2" t="s">
        <v>41</v>
      </c>
      <c r="D20" s="2">
        <v>260000</v>
      </c>
      <c r="E20" s="2" t="s">
        <v>12</v>
      </c>
      <c r="F20" s="2" t="s">
        <v>69</v>
      </c>
      <c r="G20" s="2" t="s">
        <v>75</v>
      </c>
      <c r="H20" s="2" t="s">
        <v>32</v>
      </c>
      <c r="I20" s="2" t="s">
        <v>53</v>
      </c>
      <c r="J20" s="2" t="s">
        <v>39</v>
      </c>
    </row>
    <row r="21" spans="1:10" x14ac:dyDescent="0.25">
      <c r="A21" s="2" t="s">
        <v>76</v>
      </c>
      <c r="B21" s="3">
        <v>46086</v>
      </c>
      <c r="C21" s="2" t="s">
        <v>35</v>
      </c>
      <c r="D21" s="2">
        <v>520000</v>
      </c>
      <c r="E21" s="2" t="s">
        <v>12</v>
      </c>
      <c r="F21" s="2" t="s">
        <v>20</v>
      </c>
      <c r="G21" s="2">
        <v>75</v>
      </c>
      <c r="H21" s="2" t="s">
        <v>15</v>
      </c>
      <c r="I21" s="2" t="s">
        <v>38</v>
      </c>
      <c r="J21" s="2" t="s">
        <v>17</v>
      </c>
    </row>
    <row r="22" spans="1:10" x14ac:dyDescent="0.25">
      <c r="A22" s="2" t="s">
        <v>77</v>
      </c>
      <c r="B22" s="3">
        <v>46087</v>
      </c>
      <c r="C22" s="2" t="s">
        <v>78</v>
      </c>
      <c r="D22" s="2">
        <v>330000</v>
      </c>
      <c r="E22" s="2" t="s">
        <v>12</v>
      </c>
      <c r="F22" s="2" t="s">
        <v>55</v>
      </c>
      <c r="G22" s="2" t="s">
        <v>79</v>
      </c>
      <c r="H22" s="2"/>
      <c r="I22" s="2" t="s">
        <v>44</v>
      </c>
      <c r="J22" s="2" t="s">
        <v>22</v>
      </c>
    </row>
    <row r="23" spans="1:10" x14ac:dyDescent="0.25">
      <c r="A23" s="2" t="s">
        <v>80</v>
      </c>
      <c r="B23" s="3">
        <v>46087</v>
      </c>
      <c r="C23" s="2" t="s">
        <v>19</v>
      </c>
      <c r="D23" s="2">
        <v>410000</v>
      </c>
      <c r="E23" s="2" t="s">
        <v>12</v>
      </c>
      <c r="F23" s="2" t="s">
        <v>55</v>
      </c>
      <c r="G23" s="2">
        <v>60</v>
      </c>
      <c r="H23" s="2" t="s">
        <v>15</v>
      </c>
      <c r="I23" s="2" t="s">
        <v>46</v>
      </c>
      <c r="J23" s="2" t="s">
        <v>17</v>
      </c>
    </row>
    <row r="24" spans="1:10" x14ac:dyDescent="0.25">
      <c r="A24" s="2" t="s">
        <v>81</v>
      </c>
      <c r="B24" s="3">
        <v>46082</v>
      </c>
      <c r="C24" s="2" t="s">
        <v>82</v>
      </c>
      <c r="D24" s="2">
        <v>5200</v>
      </c>
      <c r="E24" s="2" t="s">
        <v>83</v>
      </c>
      <c r="F24" s="2" t="s">
        <v>20</v>
      </c>
      <c r="G24" s="2">
        <v>42</v>
      </c>
      <c r="H24" s="2" t="s">
        <v>84</v>
      </c>
      <c r="I24" s="2" t="s">
        <v>27</v>
      </c>
      <c r="J24" s="2" t="s">
        <v>22</v>
      </c>
    </row>
    <row r="25" spans="1:10" x14ac:dyDescent="0.25">
      <c r="A25" s="2" t="s">
        <v>85</v>
      </c>
      <c r="B25" s="3">
        <v>46083</v>
      </c>
      <c r="C25" s="2" t="s">
        <v>86</v>
      </c>
      <c r="D25" s="2">
        <v>6100</v>
      </c>
      <c r="E25" s="2" t="s">
        <v>83</v>
      </c>
      <c r="F25" s="2" t="s">
        <v>72</v>
      </c>
      <c r="G25" s="2" t="s">
        <v>87</v>
      </c>
      <c r="H25" s="2" t="s">
        <v>88</v>
      </c>
      <c r="I25" s="2" t="s">
        <v>33</v>
      </c>
      <c r="J25" s="2" t="s">
        <v>22</v>
      </c>
    </row>
    <row r="26" spans="1:10" x14ac:dyDescent="0.25">
      <c r="A26" s="2" t="s">
        <v>89</v>
      </c>
      <c r="B26" s="3">
        <v>46084</v>
      </c>
      <c r="C26" s="2" t="s">
        <v>82</v>
      </c>
      <c r="D26" s="2">
        <v>2800</v>
      </c>
      <c r="E26" s="2" t="s">
        <v>83</v>
      </c>
      <c r="F26" s="2" t="s">
        <v>55</v>
      </c>
      <c r="G26" s="2">
        <v>38</v>
      </c>
      <c r="H26" s="2" t="s">
        <v>90</v>
      </c>
      <c r="I26" s="2" t="s">
        <v>38</v>
      </c>
      <c r="J26" s="2" t="s">
        <v>39</v>
      </c>
    </row>
    <row r="27" spans="1:10" x14ac:dyDescent="0.25">
      <c r="A27" s="2" t="s">
        <v>91</v>
      </c>
      <c r="B27" s="3">
        <v>46086</v>
      </c>
      <c r="C27" s="2" t="s">
        <v>86</v>
      </c>
      <c r="D27" s="2">
        <v>3300</v>
      </c>
      <c r="E27" s="2" t="s">
        <v>83</v>
      </c>
      <c r="F27" s="2" t="s">
        <v>69</v>
      </c>
      <c r="G27" s="2">
        <v>44</v>
      </c>
      <c r="H27" s="2" t="s">
        <v>84</v>
      </c>
      <c r="I27" s="2" t="s">
        <v>44</v>
      </c>
      <c r="J27" s="2" t="s">
        <v>28</v>
      </c>
    </row>
    <row r="28" spans="1:10" x14ac:dyDescent="0.25">
      <c r="A28" s="2" t="s">
        <v>92</v>
      </c>
      <c r="B28" s="3">
        <v>46082</v>
      </c>
      <c r="C28" s="2" t="s">
        <v>93</v>
      </c>
      <c r="D28" s="2">
        <v>7200</v>
      </c>
      <c r="E28" s="2" t="s">
        <v>94</v>
      </c>
      <c r="F28" s="2" t="s">
        <v>55</v>
      </c>
      <c r="G28" s="2">
        <v>49</v>
      </c>
      <c r="H28" s="2" t="s">
        <v>95</v>
      </c>
      <c r="I28" s="2" t="s">
        <v>46</v>
      </c>
      <c r="J28" s="2" t="s">
        <v>22</v>
      </c>
    </row>
    <row r="29" spans="1:10" x14ac:dyDescent="0.25">
      <c r="A29" s="2" t="s">
        <v>96</v>
      </c>
      <c r="B29" s="3">
        <v>46083</v>
      </c>
      <c r="C29" s="2" t="s">
        <v>97</v>
      </c>
      <c r="D29" s="2">
        <v>3100</v>
      </c>
      <c r="E29" s="2" t="s">
        <v>94</v>
      </c>
      <c r="F29" s="2" t="s">
        <v>25</v>
      </c>
      <c r="G29" s="2" t="s">
        <v>98</v>
      </c>
      <c r="H29" s="2" t="s">
        <v>99</v>
      </c>
      <c r="I29" s="2" t="s">
        <v>53</v>
      </c>
      <c r="J29" s="2" t="s">
        <v>22</v>
      </c>
    </row>
    <row r="30" spans="1:10" x14ac:dyDescent="0.25">
      <c r="A30" s="2" t="s">
        <v>100</v>
      </c>
      <c r="B30" s="3">
        <v>46085</v>
      </c>
      <c r="C30" s="2" t="s">
        <v>101</v>
      </c>
      <c r="D30" s="2">
        <v>2500</v>
      </c>
      <c r="E30" s="2" t="s">
        <v>94</v>
      </c>
      <c r="F30" s="2" t="s">
        <v>72</v>
      </c>
      <c r="G30" s="2" t="s">
        <v>102</v>
      </c>
      <c r="H30" s="2" t="s">
        <v>99</v>
      </c>
      <c r="I30" s="2" t="s">
        <v>57</v>
      </c>
      <c r="J30" s="2" t="s">
        <v>39</v>
      </c>
    </row>
    <row r="31" spans="1:10" x14ac:dyDescent="0.25">
      <c r="A31" s="2" t="s">
        <v>103</v>
      </c>
      <c r="B31" s="3">
        <v>46087</v>
      </c>
      <c r="C31" s="2" t="s">
        <v>93</v>
      </c>
      <c r="D31" s="2">
        <v>1800</v>
      </c>
      <c r="E31" s="2" t="s">
        <v>94</v>
      </c>
      <c r="F31" s="2" t="s">
        <v>69</v>
      </c>
      <c r="G31" s="2" t="s">
        <v>104</v>
      </c>
      <c r="H31" s="2" t="s">
        <v>99</v>
      </c>
      <c r="I31" s="2" t="s">
        <v>60</v>
      </c>
      <c r="J31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topLeftCell="A10" workbookViewId="0">
      <selection activeCell="C33" sqref="C33"/>
    </sheetView>
  </sheetViews>
  <sheetFormatPr defaultRowHeight="15" x14ac:dyDescent="0.25"/>
  <cols>
    <col min="1" max="1" width="16.5703125" customWidth="1"/>
    <col min="2" max="2" width="16" customWidth="1"/>
    <col min="3" max="3" width="17.140625" customWidth="1"/>
    <col min="4" max="4" width="18.7109375" customWidth="1"/>
    <col min="5" max="5" width="17.7109375" customWidth="1"/>
    <col min="6" max="6" width="20.7109375" customWidth="1"/>
    <col min="7" max="7" width="13.28515625" customWidth="1"/>
    <col min="8" max="8" width="17.5703125" customWidth="1"/>
    <col min="9" max="9" width="15.140625" customWidth="1"/>
    <col min="10" max="10" width="17.42578125" customWidth="1"/>
    <col min="11" max="11" width="15.42578125" customWidth="1"/>
    <col min="12" max="12" width="15.7109375" customWidth="1"/>
    <col min="13" max="13" width="16" customWidth="1"/>
    <col min="14" max="14" width="16.42578125" customWidth="1"/>
    <col min="15" max="15" width="16.85546875" customWidth="1"/>
    <col min="16" max="16" width="15.7109375" customWidth="1"/>
    <col min="17" max="17" width="15.5703125" customWidth="1"/>
    <col min="18" max="18" width="14" customWidth="1"/>
  </cols>
  <sheetData>
    <row r="1" spans="1:1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105</v>
      </c>
      <c r="L1" s="5" t="s">
        <v>106</v>
      </c>
      <c r="M1" s="5" t="s">
        <v>107</v>
      </c>
      <c r="N1" s="4" t="s">
        <v>108</v>
      </c>
      <c r="O1" s="5" t="s">
        <v>109</v>
      </c>
      <c r="P1" s="5" t="s">
        <v>110</v>
      </c>
      <c r="Q1" s="5" t="s">
        <v>111</v>
      </c>
      <c r="R1" s="4" t="s">
        <v>112</v>
      </c>
    </row>
    <row r="2" spans="1:18" x14ac:dyDescent="0.25">
      <c r="A2" s="2" t="s">
        <v>10</v>
      </c>
      <c r="B2" s="3">
        <v>46082</v>
      </c>
      <c r="C2" s="2" t="s">
        <v>11</v>
      </c>
      <c r="D2" s="2">
        <v>420000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tr">
        <f>PROPER(TRIM(SUBSTITUTE(SUBSTITUTE(C2,"  "," "),"  "," ")))</f>
        <v>Alpha Mart</v>
      </c>
      <c r="L2" s="2" t="str">
        <f>IF(ISNUMBER(B2),TEXT(B2,"YYYY-MM-DD"),TEXT(DATE(MID(B2,7,4),MID(B2,4,2),LEFT(B2,2)),"YYYY-MM-DD"))</f>
        <v>2026-03-01</v>
      </c>
      <c r="M2" s="2" t="str">
        <f>IF(OR(LOWER(TRIM(F2))="captured",LOWER(TRIM(F2))="captured "),"captured",IF(ISNUMBER(SEARCH("chargeback",F2)),"chargeback",IF(ISNUMBER(SEARCH("failed",F2)),"failed",LOWER(TRIM(F2)))))</f>
        <v>captured</v>
      </c>
      <c r="N2" s="2">
        <f>IF(ISNUMBER(VALUE(TRIM(G2))),VALUE(TRIM(G2)),IF(ISNUMBER(SEARCH("score:",G2)),VALUE(TRIM(MID(G2,FIND(":",G2)+1,10))),IF(ISNUMBER(SEARCH("risk-",G2)),VALUE(TRIM(MID(G2,FIND("-",G2)+1,10))),"")))</f>
        <v>62</v>
      </c>
      <c r="O2" s="2" t="str">
        <f>IF(TRIM(E2)="INR","APAC",IF(TRIM(E2)="EUR","EU",IF(TRIM(E2)="USD","US",UPPER(TRIM(H2)))))</f>
        <v>APAC</v>
      </c>
      <c r="P2" s="2">
        <f>IF(E2="INR",D2*0.012,IF(E2="EUR",D2*1.08,D2))</f>
        <v>5040</v>
      </c>
      <c r="Q2" s="2">
        <f>IF(AND(O2="APAC",P2&gt;5000),1,IF(AND(O2="EU",P2&gt;6000),1,IF(AND(O2="US",P2&gt;7000),1,0)))</f>
        <v>1</v>
      </c>
      <c r="R2" s="2">
        <f>IF(OR(N2&gt;=70,ISNUMBER(SEARCH("chargeback",F2))),1,0)</f>
        <v>0</v>
      </c>
    </row>
    <row r="3" spans="1:18" x14ac:dyDescent="0.25">
      <c r="A3" s="2" t="s">
        <v>18</v>
      </c>
      <c r="B3" s="3">
        <v>46082</v>
      </c>
      <c r="C3" s="2" t="s">
        <v>19</v>
      </c>
      <c r="D3" s="2">
        <v>210000</v>
      </c>
      <c r="E3" s="2" t="s">
        <v>12</v>
      </c>
      <c r="F3" s="2" t="s">
        <v>20</v>
      </c>
      <c r="G3" s="2">
        <v>55</v>
      </c>
      <c r="H3" s="2"/>
      <c r="I3" s="2" t="s">
        <v>21</v>
      </c>
      <c r="J3" s="2" t="s">
        <v>22</v>
      </c>
      <c r="K3" s="2" t="str">
        <f t="shared" ref="K3:K31" si="0">PROPER(TRIM(SUBSTITUTE(SUBSTITUTE(C3,"  "," "),"  "," ")))</f>
        <v>Alpha Mart</v>
      </c>
      <c r="L3" s="2" t="str">
        <f t="shared" ref="L3:L31" si="1">IF(ISNUMBER(B3),TEXT(B3,"YYYY-MM-DD"),TEXT(DATE(MID(B3,7,4),MID(B3,4,2),LEFT(B3,2)),"YYYY-MM-DD"))</f>
        <v>2026-03-01</v>
      </c>
      <c r="M3" s="2" t="str">
        <f t="shared" ref="M3:M31" si="2">IF(OR(LOWER(TRIM(F3))="captured",LOWER(TRIM(F3))="captured "),"captured",IF(ISNUMBER(SEARCH("chargeback",F3)),"chargeback",IF(ISNUMBER(SEARCH("failed",F3)),"failed",LOWER(TRIM(F3)))))</f>
        <v>captured</v>
      </c>
      <c r="N3" s="2">
        <f t="shared" ref="N3:N31" si="3">IF(ISNUMBER(VALUE(TRIM(G3))),VALUE(TRIM(G3)),IF(ISNUMBER(SEARCH("score:",G3)),VALUE(TRIM(MID(G3,FIND(":",G3)+1,10))),IF(ISNUMBER(SEARCH("risk-",G3)),VALUE(TRIM(MID(G3,FIND("-",G3)+1,10))),"")))</f>
        <v>55</v>
      </c>
      <c r="O3" s="2" t="str">
        <f t="shared" ref="O3:O31" si="4">IF(TRIM(E3)="INR","APAC",IF(TRIM(E3)="EUR","EU",IF(TRIM(E3)="USD","US",UPPER(TRIM(H3)))))</f>
        <v>APAC</v>
      </c>
      <c r="P3" s="2">
        <f t="shared" ref="P3:P31" si="5">IF(E3="INR",D3*0.012,IF(E3="EUR",D3*1.08,D3))</f>
        <v>2520</v>
      </c>
      <c r="Q3" s="2">
        <f t="shared" ref="Q3:Q31" si="6">IF(AND(O3="APAC",P3&gt;5000),1,IF(AND(O3="EU",P3&gt;6000),1,IF(AND(O3="US",P3&gt;7000),1,0)))</f>
        <v>0</v>
      </c>
      <c r="R3" s="2">
        <f t="shared" ref="R3:R31" si="7">IF(OR(N3&gt;=70,ISNUMBER(SEARCH("chargeback",F3))),1,0)</f>
        <v>0</v>
      </c>
    </row>
    <row r="4" spans="1:18" x14ac:dyDescent="0.25">
      <c r="A4" s="2" t="s">
        <v>23</v>
      </c>
      <c r="B4" s="3">
        <v>46082</v>
      </c>
      <c r="C4" s="2" t="s">
        <v>24</v>
      </c>
      <c r="D4" s="2">
        <v>510000</v>
      </c>
      <c r="E4" s="2" t="s">
        <v>12</v>
      </c>
      <c r="F4" s="2" t="s">
        <v>25</v>
      </c>
      <c r="G4" s="2">
        <v>71</v>
      </c>
      <c r="H4" s="2" t="s">
        <v>26</v>
      </c>
      <c r="I4" s="2" t="s">
        <v>27</v>
      </c>
      <c r="J4" s="2" t="s">
        <v>28</v>
      </c>
      <c r="K4" s="2" t="str">
        <f t="shared" si="0"/>
        <v>Beta Stores</v>
      </c>
      <c r="L4" s="2" t="str">
        <f t="shared" si="1"/>
        <v>2026-03-01</v>
      </c>
      <c r="M4" s="2" t="str">
        <f t="shared" si="2"/>
        <v>captured</v>
      </c>
      <c r="N4" s="2">
        <f t="shared" si="3"/>
        <v>71</v>
      </c>
      <c r="O4" s="2" t="str">
        <f t="shared" si="4"/>
        <v>APAC</v>
      </c>
      <c r="P4" s="2">
        <f t="shared" si="5"/>
        <v>6120</v>
      </c>
      <c r="Q4" s="2">
        <f t="shared" si="6"/>
        <v>1</v>
      </c>
      <c r="R4" s="2">
        <f t="shared" si="7"/>
        <v>1</v>
      </c>
    </row>
    <row r="5" spans="1:18" x14ac:dyDescent="0.25">
      <c r="A5" s="2" t="s">
        <v>29</v>
      </c>
      <c r="B5" s="3">
        <v>46083</v>
      </c>
      <c r="C5" s="2" t="s">
        <v>30</v>
      </c>
      <c r="D5" s="2">
        <v>160000</v>
      </c>
      <c r="E5" s="2" t="s">
        <v>12</v>
      </c>
      <c r="F5" s="2" t="s">
        <v>31</v>
      </c>
      <c r="G5" s="2">
        <v>68</v>
      </c>
      <c r="H5" s="2" t="s">
        <v>32</v>
      </c>
      <c r="I5" s="2" t="s">
        <v>33</v>
      </c>
      <c r="J5" s="2" t="s">
        <v>22</v>
      </c>
      <c r="K5" s="2" t="str">
        <f t="shared" si="0"/>
        <v>Beta Stores</v>
      </c>
      <c r="L5" s="2" t="str">
        <f t="shared" si="1"/>
        <v>2026-03-02</v>
      </c>
      <c r="M5" s="2" t="str">
        <f t="shared" si="2"/>
        <v>failed</v>
      </c>
      <c r="N5" s="2">
        <f t="shared" si="3"/>
        <v>68</v>
      </c>
      <c r="O5" s="2" t="str">
        <f t="shared" si="4"/>
        <v>APAC</v>
      </c>
      <c r="P5" s="2">
        <f t="shared" si="5"/>
        <v>1920</v>
      </c>
      <c r="Q5" s="2">
        <f t="shared" si="6"/>
        <v>0</v>
      </c>
      <c r="R5" s="2">
        <f t="shared" si="7"/>
        <v>0</v>
      </c>
    </row>
    <row r="6" spans="1:18" x14ac:dyDescent="0.25">
      <c r="A6" s="2" t="s">
        <v>34</v>
      </c>
      <c r="B6" s="3">
        <v>46083</v>
      </c>
      <c r="C6" s="2" t="s">
        <v>35</v>
      </c>
      <c r="D6" s="2">
        <v>390000</v>
      </c>
      <c r="E6" s="2" t="s">
        <v>12</v>
      </c>
      <c r="F6" s="2" t="s">
        <v>25</v>
      </c>
      <c r="G6" s="2">
        <v>58</v>
      </c>
      <c r="H6" s="2"/>
      <c r="I6" s="2" t="s">
        <v>16</v>
      </c>
      <c r="J6" s="2" t="s">
        <v>17</v>
      </c>
      <c r="K6" s="2" t="str">
        <f t="shared" si="0"/>
        <v>Alpha Mart</v>
      </c>
      <c r="L6" s="2" t="str">
        <f t="shared" si="1"/>
        <v>2026-03-02</v>
      </c>
      <c r="M6" s="2" t="str">
        <f t="shared" si="2"/>
        <v>captured</v>
      </c>
      <c r="N6" s="2">
        <f t="shared" si="3"/>
        <v>58</v>
      </c>
      <c r="O6" s="2" t="str">
        <f t="shared" si="4"/>
        <v>APAC</v>
      </c>
      <c r="P6" s="2">
        <f t="shared" si="5"/>
        <v>4680</v>
      </c>
      <c r="Q6" s="2">
        <f t="shared" si="6"/>
        <v>0</v>
      </c>
      <c r="R6" s="2">
        <f t="shared" si="7"/>
        <v>0</v>
      </c>
    </row>
    <row r="7" spans="1:18" x14ac:dyDescent="0.25">
      <c r="A7" s="2" t="s">
        <v>36</v>
      </c>
      <c r="B7" s="3">
        <v>46083</v>
      </c>
      <c r="C7" s="2" t="s">
        <v>30</v>
      </c>
      <c r="D7" s="2">
        <v>275000</v>
      </c>
      <c r="E7" s="2" t="s">
        <v>12</v>
      </c>
      <c r="F7" s="2" t="s">
        <v>20</v>
      </c>
      <c r="G7" s="2" t="s">
        <v>37</v>
      </c>
      <c r="H7" s="2"/>
      <c r="I7" s="2" t="s">
        <v>38</v>
      </c>
      <c r="J7" s="2" t="s">
        <v>39</v>
      </c>
      <c r="K7" s="2" t="str">
        <f t="shared" si="0"/>
        <v>Beta Stores</v>
      </c>
      <c r="L7" s="2" t="str">
        <f t="shared" si="1"/>
        <v>2026-03-02</v>
      </c>
      <c r="M7" s="2" t="str">
        <f t="shared" si="2"/>
        <v>captured</v>
      </c>
      <c r="N7" s="2">
        <f t="shared" si="3"/>
        <v>64</v>
      </c>
      <c r="O7" s="2" t="str">
        <f t="shared" si="4"/>
        <v>APAC</v>
      </c>
      <c r="P7" s="2">
        <f t="shared" si="5"/>
        <v>3300</v>
      </c>
      <c r="Q7" s="2">
        <f t="shared" si="6"/>
        <v>0</v>
      </c>
      <c r="R7" s="2">
        <f t="shared" si="7"/>
        <v>0</v>
      </c>
    </row>
    <row r="8" spans="1:18" x14ac:dyDescent="0.25">
      <c r="A8" s="2" t="s">
        <v>40</v>
      </c>
      <c r="B8" s="3">
        <v>46083</v>
      </c>
      <c r="C8" s="2" t="s">
        <v>41</v>
      </c>
      <c r="D8" s="2">
        <v>450000</v>
      </c>
      <c r="E8" s="2" t="s">
        <v>12</v>
      </c>
      <c r="F8" s="2" t="s">
        <v>42</v>
      </c>
      <c r="G8" s="2" t="s">
        <v>43</v>
      </c>
      <c r="H8" s="2" t="s">
        <v>26</v>
      </c>
      <c r="I8" s="2" t="s">
        <v>44</v>
      </c>
      <c r="J8" s="2" t="s">
        <v>22</v>
      </c>
      <c r="K8" s="2" t="str">
        <f t="shared" si="0"/>
        <v>Alpha Mart</v>
      </c>
      <c r="L8" s="2" t="str">
        <f t="shared" si="1"/>
        <v>2026-03-02</v>
      </c>
      <c r="M8" s="2" t="str">
        <f t="shared" si="2"/>
        <v>chargeback</v>
      </c>
      <c r="N8" s="2">
        <f t="shared" si="3"/>
        <v>83</v>
      </c>
      <c r="O8" s="2" t="str">
        <f t="shared" si="4"/>
        <v>APAC</v>
      </c>
      <c r="P8" s="2">
        <f t="shared" si="5"/>
        <v>5400</v>
      </c>
      <c r="Q8" s="2">
        <f t="shared" si="6"/>
        <v>1</v>
      </c>
      <c r="R8" s="2">
        <f t="shared" si="7"/>
        <v>1</v>
      </c>
    </row>
    <row r="9" spans="1:18" x14ac:dyDescent="0.25">
      <c r="A9" s="2" t="s">
        <v>45</v>
      </c>
      <c r="B9" s="3">
        <v>46084</v>
      </c>
      <c r="C9" s="2" t="s">
        <v>24</v>
      </c>
      <c r="D9" s="2">
        <v>340000</v>
      </c>
      <c r="E9" s="2" t="s">
        <v>12</v>
      </c>
      <c r="F9" s="2" t="s">
        <v>20</v>
      </c>
      <c r="G9" s="2">
        <v>59</v>
      </c>
      <c r="H9" s="2"/>
      <c r="I9" s="2" t="s">
        <v>46</v>
      </c>
      <c r="J9" s="2" t="s">
        <v>17</v>
      </c>
      <c r="K9" s="2" t="str">
        <f t="shared" si="0"/>
        <v>Beta Stores</v>
      </c>
      <c r="L9" s="2" t="str">
        <f t="shared" si="1"/>
        <v>2026-03-03</v>
      </c>
      <c r="M9" s="2" t="str">
        <f t="shared" si="2"/>
        <v>captured</v>
      </c>
      <c r="N9" s="2">
        <f t="shared" si="3"/>
        <v>59</v>
      </c>
      <c r="O9" s="2" t="str">
        <f t="shared" si="4"/>
        <v>APAC</v>
      </c>
      <c r="P9" s="2">
        <f t="shared" si="5"/>
        <v>4080</v>
      </c>
      <c r="Q9" s="2">
        <f t="shared" si="6"/>
        <v>0</v>
      </c>
      <c r="R9" s="2">
        <f t="shared" si="7"/>
        <v>0</v>
      </c>
    </row>
    <row r="10" spans="1:18" x14ac:dyDescent="0.25">
      <c r="A10" s="2" t="s">
        <v>47</v>
      </c>
      <c r="B10" s="3">
        <v>46084</v>
      </c>
      <c r="C10" s="2" t="s">
        <v>35</v>
      </c>
      <c r="D10" s="2">
        <v>125000</v>
      </c>
      <c r="E10" s="2" t="s">
        <v>12</v>
      </c>
      <c r="F10" s="2" t="s">
        <v>13</v>
      </c>
      <c r="G10" s="2">
        <v>46</v>
      </c>
      <c r="H10" s="2" t="s">
        <v>15</v>
      </c>
      <c r="I10" s="2" t="s">
        <v>21</v>
      </c>
      <c r="J10" s="2" t="s">
        <v>39</v>
      </c>
      <c r="K10" s="2" t="str">
        <f t="shared" si="0"/>
        <v>Alpha Mart</v>
      </c>
      <c r="L10" s="2" t="str">
        <f t="shared" si="1"/>
        <v>2026-03-03</v>
      </c>
      <c r="M10" s="2" t="str">
        <f t="shared" si="2"/>
        <v>captured</v>
      </c>
      <c r="N10" s="2">
        <f t="shared" si="3"/>
        <v>46</v>
      </c>
      <c r="O10" s="2" t="str">
        <f t="shared" si="4"/>
        <v>APAC</v>
      </c>
      <c r="P10" s="2">
        <f t="shared" si="5"/>
        <v>1500</v>
      </c>
      <c r="Q10" s="2">
        <f t="shared" si="6"/>
        <v>0</v>
      </c>
      <c r="R10" s="2">
        <f t="shared" si="7"/>
        <v>0</v>
      </c>
    </row>
    <row r="11" spans="1:18" x14ac:dyDescent="0.25">
      <c r="A11" s="2" t="s">
        <v>48</v>
      </c>
      <c r="B11" s="3">
        <v>46084</v>
      </c>
      <c r="C11" s="2" t="s">
        <v>49</v>
      </c>
      <c r="D11" s="2">
        <v>610000</v>
      </c>
      <c r="E11" s="2" t="s">
        <v>12</v>
      </c>
      <c r="F11" s="2" t="s">
        <v>13</v>
      </c>
      <c r="G11" s="2" t="s">
        <v>50</v>
      </c>
      <c r="H11" s="2"/>
      <c r="I11" s="2" t="s">
        <v>27</v>
      </c>
      <c r="J11" s="2" t="s">
        <v>22</v>
      </c>
      <c r="K11" s="2" t="str">
        <f t="shared" si="0"/>
        <v>Beta Stores</v>
      </c>
      <c r="L11" s="2" t="str">
        <f t="shared" si="1"/>
        <v>2026-03-03</v>
      </c>
      <c r="M11" s="2" t="str">
        <f t="shared" si="2"/>
        <v>captured</v>
      </c>
      <c r="N11" s="2">
        <f t="shared" si="3"/>
        <v>77</v>
      </c>
      <c r="O11" s="2" t="str">
        <f t="shared" si="4"/>
        <v>APAC</v>
      </c>
      <c r="P11" s="2">
        <f t="shared" si="5"/>
        <v>7320</v>
      </c>
      <c r="Q11" s="2">
        <f t="shared" si="6"/>
        <v>1</v>
      </c>
      <c r="R11" s="2">
        <f t="shared" si="7"/>
        <v>1</v>
      </c>
    </row>
    <row r="12" spans="1:18" x14ac:dyDescent="0.25">
      <c r="A12" s="2" t="s">
        <v>51</v>
      </c>
      <c r="B12" s="3">
        <v>46084</v>
      </c>
      <c r="C12" s="2" t="s">
        <v>41</v>
      </c>
      <c r="D12" s="2">
        <v>195000</v>
      </c>
      <c r="E12" s="2" t="s">
        <v>12</v>
      </c>
      <c r="F12" s="2" t="s">
        <v>52</v>
      </c>
      <c r="G12" s="2"/>
      <c r="H12" s="2"/>
      <c r="I12" s="2" t="s">
        <v>53</v>
      </c>
      <c r="J12" s="2" t="s">
        <v>17</v>
      </c>
      <c r="K12" s="2" t="str">
        <f t="shared" si="0"/>
        <v>Alpha Mart</v>
      </c>
      <c r="L12" s="2" t="str">
        <f t="shared" si="1"/>
        <v>2026-03-03</v>
      </c>
      <c r="M12" s="2" t="str">
        <f t="shared" si="2"/>
        <v>failed</v>
      </c>
      <c r="N12" s="2"/>
      <c r="O12" s="2" t="str">
        <f t="shared" si="4"/>
        <v>APAC</v>
      </c>
      <c r="P12" s="2">
        <f t="shared" si="5"/>
        <v>2340</v>
      </c>
      <c r="Q12" s="2">
        <f t="shared" si="6"/>
        <v>0</v>
      </c>
      <c r="R12" s="2">
        <f t="shared" si="7"/>
        <v>0</v>
      </c>
    </row>
    <row r="13" spans="1:18" x14ac:dyDescent="0.25">
      <c r="A13" s="2" t="s">
        <v>54</v>
      </c>
      <c r="B13" s="3">
        <v>46085</v>
      </c>
      <c r="C13" s="2" t="s">
        <v>30</v>
      </c>
      <c r="D13" s="2">
        <v>250000</v>
      </c>
      <c r="E13" s="2" t="s">
        <v>12</v>
      </c>
      <c r="F13" s="2" t="s">
        <v>55</v>
      </c>
      <c r="G13" s="2" t="s">
        <v>56</v>
      </c>
      <c r="H13" s="2" t="s">
        <v>26</v>
      </c>
      <c r="I13" s="2" t="s">
        <v>57</v>
      </c>
      <c r="J13" s="2" t="s">
        <v>22</v>
      </c>
      <c r="K13" s="2" t="str">
        <f t="shared" si="0"/>
        <v>Beta Stores</v>
      </c>
      <c r="L13" s="2" t="str">
        <f t="shared" si="1"/>
        <v>2026-03-04</v>
      </c>
      <c r="M13" s="2" t="str">
        <f t="shared" si="2"/>
        <v>captured</v>
      </c>
      <c r="N13" s="2">
        <f t="shared" si="3"/>
        <v>61</v>
      </c>
      <c r="O13" s="2" t="str">
        <f t="shared" si="4"/>
        <v>APAC</v>
      </c>
      <c r="P13" s="2">
        <f t="shared" si="5"/>
        <v>3000</v>
      </c>
      <c r="Q13" s="2">
        <f t="shared" si="6"/>
        <v>0</v>
      </c>
      <c r="R13" s="2">
        <f t="shared" si="7"/>
        <v>0</v>
      </c>
    </row>
    <row r="14" spans="1:18" x14ac:dyDescent="0.25">
      <c r="A14" s="2" t="s">
        <v>58</v>
      </c>
      <c r="B14" s="3">
        <v>46085</v>
      </c>
      <c r="C14" s="2" t="s">
        <v>11</v>
      </c>
      <c r="D14" s="2">
        <v>310000</v>
      </c>
      <c r="E14" s="2" t="s">
        <v>12</v>
      </c>
      <c r="F14" s="2" t="s">
        <v>55</v>
      </c>
      <c r="G14" s="2" t="s">
        <v>59</v>
      </c>
      <c r="H14" s="2" t="s">
        <v>15</v>
      </c>
      <c r="I14" s="2" t="s">
        <v>60</v>
      </c>
      <c r="J14" s="2" t="s">
        <v>17</v>
      </c>
      <c r="K14" s="2" t="str">
        <f t="shared" si="0"/>
        <v>Alpha Mart</v>
      </c>
      <c r="L14" s="2" t="str">
        <f t="shared" si="1"/>
        <v>2026-03-04</v>
      </c>
      <c r="M14" s="2" t="str">
        <f t="shared" si="2"/>
        <v>captured</v>
      </c>
      <c r="N14" s="2">
        <f t="shared" si="3"/>
        <v>54</v>
      </c>
      <c r="O14" s="2" t="str">
        <f t="shared" si="4"/>
        <v>APAC</v>
      </c>
      <c r="P14" s="2">
        <f t="shared" si="5"/>
        <v>3720</v>
      </c>
      <c r="Q14" s="2">
        <f t="shared" si="6"/>
        <v>0</v>
      </c>
      <c r="R14" s="2">
        <f t="shared" si="7"/>
        <v>0</v>
      </c>
    </row>
    <row r="15" spans="1:18" x14ac:dyDescent="0.25">
      <c r="A15" s="2" t="s">
        <v>61</v>
      </c>
      <c r="B15" s="3">
        <v>46085</v>
      </c>
      <c r="C15" s="2" t="s">
        <v>30</v>
      </c>
      <c r="D15" s="2">
        <v>470000</v>
      </c>
      <c r="E15" s="2" t="s">
        <v>12</v>
      </c>
      <c r="F15" s="2" t="s">
        <v>55</v>
      </c>
      <c r="G15" s="2" t="s">
        <v>62</v>
      </c>
      <c r="H15" s="2" t="s">
        <v>15</v>
      </c>
      <c r="I15" s="2" t="s">
        <v>16</v>
      </c>
      <c r="J15" s="2" t="s">
        <v>28</v>
      </c>
      <c r="K15" s="2" t="str">
        <f t="shared" si="0"/>
        <v>Beta Stores</v>
      </c>
      <c r="L15" s="2" t="str">
        <f t="shared" si="1"/>
        <v>2026-03-04</v>
      </c>
      <c r="M15" s="2" t="str">
        <f t="shared" si="2"/>
        <v>captured</v>
      </c>
      <c r="N15" s="2">
        <f t="shared" si="3"/>
        <v>73</v>
      </c>
      <c r="O15" s="2" t="str">
        <f t="shared" si="4"/>
        <v>APAC</v>
      </c>
      <c r="P15" s="2">
        <f t="shared" si="5"/>
        <v>5640</v>
      </c>
      <c r="Q15" s="2">
        <f t="shared" si="6"/>
        <v>1</v>
      </c>
      <c r="R15" s="2">
        <f t="shared" si="7"/>
        <v>1</v>
      </c>
    </row>
    <row r="16" spans="1:18" x14ac:dyDescent="0.25">
      <c r="A16" s="2" t="s">
        <v>63</v>
      </c>
      <c r="B16" s="3">
        <v>46085</v>
      </c>
      <c r="C16" s="2" t="s">
        <v>35</v>
      </c>
      <c r="D16" s="2">
        <v>130000</v>
      </c>
      <c r="E16" s="2" t="s">
        <v>12</v>
      </c>
      <c r="F16" s="2" t="s">
        <v>13</v>
      </c>
      <c r="G16" s="2" t="s">
        <v>64</v>
      </c>
      <c r="H16" s="2"/>
      <c r="I16" s="2" t="s">
        <v>21</v>
      </c>
      <c r="J16" s="2" t="s">
        <v>22</v>
      </c>
      <c r="K16" s="2" t="str">
        <f t="shared" si="0"/>
        <v>Alpha Mart</v>
      </c>
      <c r="L16" s="2" t="str">
        <f t="shared" si="1"/>
        <v>2026-03-04</v>
      </c>
      <c r="M16" s="2" t="str">
        <f t="shared" si="2"/>
        <v>captured</v>
      </c>
      <c r="N16" s="2">
        <f t="shared" si="3"/>
        <v>52</v>
      </c>
      <c r="O16" s="2" t="str">
        <f t="shared" si="4"/>
        <v>APAC</v>
      </c>
      <c r="P16" s="2">
        <f t="shared" si="5"/>
        <v>1560</v>
      </c>
      <c r="Q16" s="2">
        <f t="shared" si="6"/>
        <v>0</v>
      </c>
      <c r="R16" s="2">
        <f t="shared" si="7"/>
        <v>0</v>
      </c>
    </row>
    <row r="17" spans="1:18" x14ac:dyDescent="0.25">
      <c r="A17" s="2" t="s">
        <v>65</v>
      </c>
      <c r="B17" s="3">
        <v>46086</v>
      </c>
      <c r="C17" s="2" t="s">
        <v>30</v>
      </c>
      <c r="D17" s="2">
        <v>220000</v>
      </c>
      <c r="E17" s="2" t="s">
        <v>12</v>
      </c>
      <c r="F17" s="2" t="s">
        <v>66</v>
      </c>
      <c r="G17" s="2" t="s">
        <v>67</v>
      </c>
      <c r="H17" s="2"/>
      <c r="I17" s="2" t="s">
        <v>53</v>
      </c>
      <c r="J17" s="2" t="s">
        <v>22</v>
      </c>
      <c r="K17" s="2" t="str">
        <f t="shared" si="0"/>
        <v>Beta Stores</v>
      </c>
      <c r="L17" s="2" t="str">
        <f t="shared" si="1"/>
        <v>2026-03-05</v>
      </c>
      <c r="M17" s="2" t="str">
        <f t="shared" si="2"/>
        <v>failed</v>
      </c>
      <c r="N17" s="2">
        <f t="shared" si="3"/>
        <v>69</v>
      </c>
      <c r="O17" s="2" t="str">
        <f t="shared" si="4"/>
        <v>APAC</v>
      </c>
      <c r="P17" s="2">
        <f t="shared" si="5"/>
        <v>2640</v>
      </c>
      <c r="Q17" s="2">
        <f t="shared" si="6"/>
        <v>0</v>
      </c>
      <c r="R17" s="2">
        <f t="shared" si="7"/>
        <v>0</v>
      </c>
    </row>
    <row r="18" spans="1:18" x14ac:dyDescent="0.25">
      <c r="A18" s="2" t="s">
        <v>68</v>
      </c>
      <c r="B18" s="3">
        <v>46086</v>
      </c>
      <c r="C18" s="2" t="s">
        <v>30</v>
      </c>
      <c r="D18" s="2">
        <v>180000</v>
      </c>
      <c r="E18" s="2" t="s">
        <v>12</v>
      </c>
      <c r="F18" s="2" t="s">
        <v>69</v>
      </c>
      <c r="G18" s="2" t="s">
        <v>70</v>
      </c>
      <c r="H18" s="2" t="s">
        <v>32</v>
      </c>
      <c r="I18" s="2" t="s">
        <v>53</v>
      </c>
      <c r="J18" s="2" t="s">
        <v>22</v>
      </c>
      <c r="K18" s="2" t="str">
        <f t="shared" si="0"/>
        <v>Beta Stores</v>
      </c>
      <c r="L18" s="2" t="str">
        <f t="shared" si="1"/>
        <v>2026-03-05</v>
      </c>
      <c r="M18" s="2" t="str">
        <f t="shared" si="2"/>
        <v>failed</v>
      </c>
      <c r="N18" s="2">
        <f t="shared" si="3"/>
        <v>72</v>
      </c>
      <c r="O18" s="2" t="str">
        <f t="shared" si="4"/>
        <v>APAC</v>
      </c>
      <c r="P18" s="2">
        <f t="shared" si="5"/>
        <v>2160</v>
      </c>
      <c r="Q18" s="2">
        <f t="shared" si="6"/>
        <v>0</v>
      </c>
      <c r="R18" s="2">
        <f t="shared" si="7"/>
        <v>1</v>
      </c>
    </row>
    <row r="19" spans="1:18" x14ac:dyDescent="0.25">
      <c r="A19" s="2" t="s">
        <v>71</v>
      </c>
      <c r="B19" s="3">
        <v>46086</v>
      </c>
      <c r="C19" s="2" t="s">
        <v>24</v>
      </c>
      <c r="D19" s="2">
        <v>145000</v>
      </c>
      <c r="E19" s="2" t="s">
        <v>12</v>
      </c>
      <c r="F19" s="2" t="s">
        <v>72</v>
      </c>
      <c r="G19" s="2" t="s">
        <v>73</v>
      </c>
      <c r="H19" s="2" t="s">
        <v>26</v>
      </c>
      <c r="I19" s="2" t="s">
        <v>53</v>
      </c>
      <c r="J19" s="2" t="s">
        <v>17</v>
      </c>
      <c r="K19" s="2" t="str">
        <f t="shared" si="0"/>
        <v>Beta Stores</v>
      </c>
      <c r="L19" s="2" t="str">
        <f t="shared" si="1"/>
        <v>2026-03-05</v>
      </c>
      <c r="M19" s="2" t="str">
        <f t="shared" si="2"/>
        <v>chargeback</v>
      </c>
      <c r="N19" s="2">
        <f t="shared" si="3"/>
        <v>86</v>
      </c>
      <c r="O19" s="2" t="str">
        <f t="shared" si="4"/>
        <v>APAC</v>
      </c>
      <c r="P19" s="2">
        <f t="shared" si="5"/>
        <v>1740</v>
      </c>
      <c r="Q19" s="2">
        <f t="shared" si="6"/>
        <v>0</v>
      </c>
      <c r="R19" s="2">
        <f t="shared" si="7"/>
        <v>1</v>
      </c>
    </row>
    <row r="20" spans="1:18" x14ac:dyDescent="0.25">
      <c r="A20" s="2" t="s">
        <v>74</v>
      </c>
      <c r="B20" s="3">
        <v>46086</v>
      </c>
      <c r="C20" s="2" t="s">
        <v>41</v>
      </c>
      <c r="D20" s="2">
        <v>260000</v>
      </c>
      <c r="E20" s="2" t="s">
        <v>12</v>
      </c>
      <c r="F20" s="2" t="s">
        <v>69</v>
      </c>
      <c r="G20" s="2" t="s">
        <v>75</v>
      </c>
      <c r="H20" s="2" t="s">
        <v>32</v>
      </c>
      <c r="I20" s="2" t="s">
        <v>53</v>
      </c>
      <c r="J20" s="2" t="s">
        <v>39</v>
      </c>
      <c r="K20" s="2" t="str">
        <f t="shared" si="0"/>
        <v>Alpha Mart</v>
      </c>
      <c r="L20" s="2" t="str">
        <f t="shared" si="1"/>
        <v>2026-03-05</v>
      </c>
      <c r="M20" s="2" t="str">
        <f t="shared" si="2"/>
        <v>failed</v>
      </c>
      <c r="N20" s="2">
        <f t="shared" si="3"/>
        <v>67</v>
      </c>
      <c r="O20" s="2" t="str">
        <f t="shared" si="4"/>
        <v>APAC</v>
      </c>
      <c r="P20" s="2">
        <f t="shared" si="5"/>
        <v>3120</v>
      </c>
      <c r="Q20" s="2">
        <f t="shared" si="6"/>
        <v>0</v>
      </c>
      <c r="R20" s="2">
        <f t="shared" si="7"/>
        <v>0</v>
      </c>
    </row>
    <row r="21" spans="1:18" x14ac:dyDescent="0.25">
      <c r="A21" s="2" t="s">
        <v>76</v>
      </c>
      <c r="B21" s="3">
        <v>46086</v>
      </c>
      <c r="C21" s="2" t="s">
        <v>35</v>
      </c>
      <c r="D21" s="2">
        <v>520000</v>
      </c>
      <c r="E21" s="2" t="s">
        <v>12</v>
      </c>
      <c r="F21" s="2" t="s">
        <v>20</v>
      </c>
      <c r="G21" s="2">
        <v>75</v>
      </c>
      <c r="H21" s="2" t="s">
        <v>15</v>
      </c>
      <c r="I21" s="2" t="s">
        <v>38</v>
      </c>
      <c r="J21" s="2" t="s">
        <v>17</v>
      </c>
      <c r="K21" s="2" t="str">
        <f t="shared" si="0"/>
        <v>Alpha Mart</v>
      </c>
      <c r="L21" s="2" t="str">
        <f t="shared" si="1"/>
        <v>2026-03-05</v>
      </c>
      <c r="M21" s="2" t="str">
        <f t="shared" si="2"/>
        <v>captured</v>
      </c>
      <c r="N21" s="2">
        <f t="shared" si="3"/>
        <v>75</v>
      </c>
      <c r="O21" s="2" t="str">
        <f t="shared" si="4"/>
        <v>APAC</v>
      </c>
      <c r="P21" s="2">
        <f t="shared" si="5"/>
        <v>6240</v>
      </c>
      <c r="Q21" s="2">
        <f t="shared" si="6"/>
        <v>1</v>
      </c>
      <c r="R21" s="2">
        <f t="shared" si="7"/>
        <v>1</v>
      </c>
    </row>
    <row r="22" spans="1:18" x14ac:dyDescent="0.25">
      <c r="A22" s="2" t="s">
        <v>77</v>
      </c>
      <c r="B22" s="3">
        <v>46087</v>
      </c>
      <c r="C22" s="2" t="s">
        <v>78</v>
      </c>
      <c r="D22" s="2">
        <v>330000</v>
      </c>
      <c r="E22" s="2" t="s">
        <v>12</v>
      </c>
      <c r="F22" s="2" t="s">
        <v>55</v>
      </c>
      <c r="G22" s="2" t="s">
        <v>79</v>
      </c>
      <c r="H22" s="2"/>
      <c r="I22" s="2" t="s">
        <v>44</v>
      </c>
      <c r="J22" s="2" t="s">
        <v>22</v>
      </c>
      <c r="K22" s="2" t="str">
        <f t="shared" si="0"/>
        <v>Beta Stores</v>
      </c>
      <c r="L22" s="2" t="str">
        <f t="shared" si="1"/>
        <v>2026-03-06</v>
      </c>
      <c r="M22" s="2" t="str">
        <f t="shared" si="2"/>
        <v>captured</v>
      </c>
      <c r="N22" s="2">
        <f t="shared" si="3"/>
        <v>63</v>
      </c>
      <c r="O22" s="2" t="str">
        <f t="shared" si="4"/>
        <v>APAC</v>
      </c>
      <c r="P22" s="2">
        <f t="shared" si="5"/>
        <v>3960</v>
      </c>
      <c r="Q22" s="2">
        <f t="shared" si="6"/>
        <v>0</v>
      </c>
      <c r="R22" s="2">
        <f t="shared" si="7"/>
        <v>0</v>
      </c>
    </row>
    <row r="23" spans="1:18" x14ac:dyDescent="0.25">
      <c r="A23" s="2" t="s">
        <v>80</v>
      </c>
      <c r="B23" s="3">
        <v>46087</v>
      </c>
      <c r="C23" s="2" t="s">
        <v>19</v>
      </c>
      <c r="D23" s="2">
        <v>410000</v>
      </c>
      <c r="E23" s="2" t="s">
        <v>12</v>
      </c>
      <c r="F23" s="2" t="s">
        <v>55</v>
      </c>
      <c r="G23" s="2">
        <v>60</v>
      </c>
      <c r="H23" s="2" t="s">
        <v>15</v>
      </c>
      <c r="I23" s="2" t="s">
        <v>46</v>
      </c>
      <c r="J23" s="2" t="s">
        <v>17</v>
      </c>
      <c r="K23" s="2" t="str">
        <f t="shared" si="0"/>
        <v>Alpha Mart</v>
      </c>
      <c r="L23" s="2" t="str">
        <f t="shared" si="1"/>
        <v>2026-03-06</v>
      </c>
      <c r="M23" s="2" t="str">
        <f t="shared" si="2"/>
        <v>captured</v>
      </c>
      <c r="N23" s="2">
        <f t="shared" si="3"/>
        <v>60</v>
      </c>
      <c r="O23" s="2" t="str">
        <f t="shared" si="4"/>
        <v>APAC</v>
      </c>
      <c r="P23" s="2">
        <f t="shared" si="5"/>
        <v>4920</v>
      </c>
      <c r="Q23" s="2">
        <f t="shared" si="6"/>
        <v>0</v>
      </c>
      <c r="R23" s="2">
        <f t="shared" si="7"/>
        <v>0</v>
      </c>
    </row>
    <row r="24" spans="1:18" x14ac:dyDescent="0.25">
      <c r="A24" s="2" t="s">
        <v>81</v>
      </c>
      <c r="B24" s="3">
        <v>46082</v>
      </c>
      <c r="C24" s="2" t="s">
        <v>82</v>
      </c>
      <c r="D24" s="2">
        <v>5200</v>
      </c>
      <c r="E24" s="2" t="s">
        <v>83</v>
      </c>
      <c r="F24" s="2" t="s">
        <v>20</v>
      </c>
      <c r="G24" s="2">
        <v>42</v>
      </c>
      <c r="H24" s="2" t="s">
        <v>84</v>
      </c>
      <c r="I24" s="2" t="s">
        <v>27</v>
      </c>
      <c r="J24" s="2" t="s">
        <v>22</v>
      </c>
      <c r="K24" s="2" t="str">
        <f t="shared" si="0"/>
        <v>City Pharma</v>
      </c>
      <c r="L24" s="2" t="str">
        <f t="shared" si="1"/>
        <v>2026-03-01</v>
      </c>
      <c r="M24" s="2" t="str">
        <f t="shared" si="2"/>
        <v>captured</v>
      </c>
      <c r="N24" s="2">
        <f t="shared" si="3"/>
        <v>42</v>
      </c>
      <c r="O24" s="2" t="str">
        <f t="shared" si="4"/>
        <v>EU</v>
      </c>
      <c r="P24" s="2">
        <f t="shared" si="5"/>
        <v>5616</v>
      </c>
      <c r="Q24" s="2">
        <f t="shared" si="6"/>
        <v>0</v>
      </c>
      <c r="R24" s="2">
        <f t="shared" si="7"/>
        <v>0</v>
      </c>
    </row>
    <row r="25" spans="1:18" x14ac:dyDescent="0.25">
      <c r="A25" s="2" t="s">
        <v>85</v>
      </c>
      <c r="B25" s="3">
        <v>46083</v>
      </c>
      <c r="C25" s="2" t="s">
        <v>86</v>
      </c>
      <c r="D25" s="2">
        <v>6100</v>
      </c>
      <c r="E25" s="2" t="s">
        <v>83</v>
      </c>
      <c r="F25" s="2" t="s">
        <v>72</v>
      </c>
      <c r="G25" s="2" t="s">
        <v>87</v>
      </c>
      <c r="H25" s="2" t="s">
        <v>88</v>
      </c>
      <c r="I25" s="2" t="s">
        <v>33</v>
      </c>
      <c r="J25" s="2" t="s">
        <v>22</v>
      </c>
      <c r="K25" s="2" t="str">
        <f t="shared" si="0"/>
        <v>Eco Home</v>
      </c>
      <c r="L25" s="2" t="str">
        <f t="shared" si="1"/>
        <v>2026-03-02</v>
      </c>
      <c r="M25" s="2" t="str">
        <f t="shared" si="2"/>
        <v>chargeback</v>
      </c>
      <c r="N25" s="2">
        <f t="shared" si="3"/>
        <v>65</v>
      </c>
      <c r="O25" s="2" t="str">
        <f t="shared" si="4"/>
        <v>EU</v>
      </c>
      <c r="P25" s="2">
        <f t="shared" si="5"/>
        <v>6588</v>
      </c>
      <c r="Q25" s="2">
        <f t="shared" si="6"/>
        <v>1</v>
      </c>
      <c r="R25" s="2">
        <f t="shared" si="7"/>
        <v>1</v>
      </c>
    </row>
    <row r="26" spans="1:18" x14ac:dyDescent="0.25">
      <c r="A26" s="2" t="s">
        <v>89</v>
      </c>
      <c r="B26" s="3">
        <v>46084</v>
      </c>
      <c r="C26" s="2" t="s">
        <v>82</v>
      </c>
      <c r="D26" s="2">
        <v>2800</v>
      </c>
      <c r="E26" s="2" t="s">
        <v>83</v>
      </c>
      <c r="F26" s="2" t="s">
        <v>55</v>
      </c>
      <c r="G26" s="2">
        <v>38</v>
      </c>
      <c r="H26" s="2" t="s">
        <v>90</v>
      </c>
      <c r="I26" s="2" t="s">
        <v>38</v>
      </c>
      <c r="J26" s="2" t="s">
        <v>39</v>
      </c>
      <c r="K26" s="2" t="str">
        <f t="shared" si="0"/>
        <v>City Pharma</v>
      </c>
      <c r="L26" s="2" t="str">
        <f t="shared" si="1"/>
        <v>2026-03-03</v>
      </c>
      <c r="M26" s="2" t="str">
        <f t="shared" si="2"/>
        <v>captured</v>
      </c>
      <c r="N26" s="2">
        <f t="shared" si="3"/>
        <v>38</v>
      </c>
      <c r="O26" s="2" t="str">
        <f t="shared" si="4"/>
        <v>EU</v>
      </c>
      <c r="P26" s="2">
        <f t="shared" si="5"/>
        <v>3024</v>
      </c>
      <c r="Q26" s="2">
        <f t="shared" si="6"/>
        <v>0</v>
      </c>
      <c r="R26" s="2">
        <f t="shared" si="7"/>
        <v>0</v>
      </c>
    </row>
    <row r="27" spans="1:18" x14ac:dyDescent="0.25">
      <c r="A27" s="2" t="s">
        <v>91</v>
      </c>
      <c r="B27" s="3">
        <v>46086</v>
      </c>
      <c r="C27" s="2" t="s">
        <v>86</v>
      </c>
      <c r="D27" s="2">
        <v>3300</v>
      </c>
      <c r="E27" s="2" t="s">
        <v>83</v>
      </c>
      <c r="F27" s="2" t="s">
        <v>69</v>
      </c>
      <c r="G27" s="2">
        <v>44</v>
      </c>
      <c r="H27" s="2" t="s">
        <v>84</v>
      </c>
      <c r="I27" s="2" t="s">
        <v>44</v>
      </c>
      <c r="J27" s="2" t="s">
        <v>28</v>
      </c>
      <c r="K27" s="2" t="str">
        <f t="shared" si="0"/>
        <v>Eco Home</v>
      </c>
      <c r="L27" s="2" t="str">
        <f t="shared" si="1"/>
        <v>2026-03-05</v>
      </c>
      <c r="M27" s="2" t="str">
        <f t="shared" si="2"/>
        <v>failed</v>
      </c>
      <c r="N27" s="2">
        <f t="shared" si="3"/>
        <v>44</v>
      </c>
      <c r="O27" s="2" t="str">
        <f t="shared" si="4"/>
        <v>EU</v>
      </c>
      <c r="P27" s="2">
        <f t="shared" si="5"/>
        <v>3564.0000000000005</v>
      </c>
      <c r="Q27" s="2">
        <f t="shared" si="6"/>
        <v>0</v>
      </c>
      <c r="R27" s="2">
        <f t="shared" si="7"/>
        <v>0</v>
      </c>
    </row>
    <row r="28" spans="1:18" x14ac:dyDescent="0.25">
      <c r="A28" s="2" t="s">
        <v>92</v>
      </c>
      <c r="B28" s="3">
        <v>46082</v>
      </c>
      <c r="C28" s="2" t="s">
        <v>93</v>
      </c>
      <c r="D28" s="2">
        <v>7200</v>
      </c>
      <c r="E28" s="2" t="s">
        <v>94</v>
      </c>
      <c r="F28" s="2" t="s">
        <v>55</v>
      </c>
      <c r="G28" s="2">
        <v>49</v>
      </c>
      <c r="H28" s="2" t="s">
        <v>95</v>
      </c>
      <c r="I28" s="2" t="s">
        <v>46</v>
      </c>
      <c r="J28" s="2" t="s">
        <v>22</v>
      </c>
      <c r="K28" s="2" t="str">
        <f t="shared" si="0"/>
        <v>Delta Travels</v>
      </c>
      <c r="L28" s="2" t="str">
        <f t="shared" si="1"/>
        <v>2026-03-01</v>
      </c>
      <c r="M28" s="2" t="str">
        <f t="shared" si="2"/>
        <v>captured</v>
      </c>
      <c r="N28" s="2">
        <f t="shared" si="3"/>
        <v>49</v>
      </c>
      <c r="O28" s="2" t="str">
        <f t="shared" si="4"/>
        <v>US</v>
      </c>
      <c r="P28" s="2">
        <f t="shared" si="5"/>
        <v>7200</v>
      </c>
      <c r="Q28" s="2">
        <f t="shared" si="6"/>
        <v>1</v>
      </c>
      <c r="R28" s="2">
        <f t="shared" si="7"/>
        <v>0</v>
      </c>
    </row>
    <row r="29" spans="1:18" x14ac:dyDescent="0.25">
      <c r="A29" s="2" t="s">
        <v>96</v>
      </c>
      <c r="B29" s="3">
        <v>46083</v>
      </c>
      <c r="C29" s="2" t="s">
        <v>97</v>
      </c>
      <c r="D29" s="2">
        <v>3100</v>
      </c>
      <c r="E29" s="2" t="s">
        <v>94</v>
      </c>
      <c r="F29" s="2" t="s">
        <v>25</v>
      </c>
      <c r="G29" s="2" t="s">
        <v>98</v>
      </c>
      <c r="H29" s="2" t="s">
        <v>99</v>
      </c>
      <c r="I29" s="2" t="s">
        <v>53</v>
      </c>
      <c r="J29" s="2" t="s">
        <v>22</v>
      </c>
      <c r="K29" s="2" t="str">
        <f t="shared" si="0"/>
        <v>Delta Travels</v>
      </c>
      <c r="L29" s="2" t="str">
        <f t="shared" si="1"/>
        <v>2026-03-02</v>
      </c>
      <c r="M29" s="2" t="str">
        <f t="shared" si="2"/>
        <v>captured</v>
      </c>
      <c r="N29" s="2">
        <f t="shared" si="3"/>
        <v>41</v>
      </c>
      <c r="O29" s="2" t="str">
        <f t="shared" si="4"/>
        <v>US</v>
      </c>
      <c r="P29" s="2">
        <f t="shared" si="5"/>
        <v>3100</v>
      </c>
      <c r="Q29" s="2">
        <f t="shared" si="6"/>
        <v>0</v>
      </c>
      <c r="R29" s="2">
        <f t="shared" si="7"/>
        <v>0</v>
      </c>
    </row>
    <row r="30" spans="1:18" x14ac:dyDescent="0.25">
      <c r="A30" s="2" t="s">
        <v>100</v>
      </c>
      <c r="B30" s="3">
        <v>46085</v>
      </c>
      <c r="C30" s="2" t="s">
        <v>101</v>
      </c>
      <c r="D30" s="2">
        <v>2500</v>
      </c>
      <c r="E30" s="2" t="s">
        <v>94</v>
      </c>
      <c r="F30" s="2" t="s">
        <v>72</v>
      </c>
      <c r="G30" s="2" t="s">
        <v>102</v>
      </c>
      <c r="H30" s="2" t="s">
        <v>99</v>
      </c>
      <c r="I30" s="2" t="s">
        <v>57</v>
      </c>
      <c r="J30" s="2" t="s">
        <v>39</v>
      </c>
      <c r="K30" s="2" t="str">
        <f t="shared" si="0"/>
        <v>Delta Travels</v>
      </c>
      <c r="L30" s="2" t="str">
        <f t="shared" si="1"/>
        <v>2026-03-04</v>
      </c>
      <c r="M30" s="2" t="str">
        <f t="shared" si="2"/>
        <v>chargeback</v>
      </c>
      <c r="N30" s="2">
        <f t="shared" si="3"/>
        <v>58</v>
      </c>
      <c r="O30" s="2" t="str">
        <f t="shared" si="4"/>
        <v>US</v>
      </c>
      <c r="P30" s="2">
        <f t="shared" si="5"/>
        <v>2500</v>
      </c>
      <c r="Q30" s="2">
        <f t="shared" si="6"/>
        <v>0</v>
      </c>
      <c r="R30" s="2">
        <f t="shared" si="7"/>
        <v>1</v>
      </c>
    </row>
    <row r="31" spans="1:18" x14ac:dyDescent="0.25">
      <c r="A31" s="2" t="s">
        <v>103</v>
      </c>
      <c r="B31" s="3">
        <v>46087</v>
      </c>
      <c r="C31" s="2" t="s">
        <v>93</v>
      </c>
      <c r="D31" s="2">
        <v>1800</v>
      </c>
      <c r="E31" s="2" t="s">
        <v>94</v>
      </c>
      <c r="F31" s="2" t="s">
        <v>69</v>
      </c>
      <c r="G31" s="2" t="s">
        <v>104</v>
      </c>
      <c r="H31" s="2" t="s">
        <v>99</v>
      </c>
      <c r="I31" s="2" t="s">
        <v>60</v>
      </c>
      <c r="J31" s="2" t="s">
        <v>17</v>
      </c>
      <c r="K31" s="2" t="str">
        <f t="shared" si="0"/>
        <v>Delta Travels</v>
      </c>
      <c r="L31" s="2" t="str">
        <f t="shared" si="1"/>
        <v>2026-03-06</v>
      </c>
      <c r="M31" s="2" t="str">
        <f t="shared" si="2"/>
        <v>failed</v>
      </c>
      <c r="N31" s="2">
        <f t="shared" si="3"/>
        <v>47</v>
      </c>
      <c r="O31" s="2" t="str">
        <f t="shared" si="4"/>
        <v>US</v>
      </c>
      <c r="P31" s="2">
        <f t="shared" si="5"/>
        <v>1800</v>
      </c>
      <c r="Q31" s="2">
        <f t="shared" si="6"/>
        <v>0</v>
      </c>
      <c r="R31" s="2">
        <f t="shared" si="7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E6" sqref="E6"/>
    </sheetView>
  </sheetViews>
  <sheetFormatPr defaultRowHeight="15" x14ac:dyDescent="0.25"/>
  <cols>
    <col min="1" max="1" width="16.7109375" customWidth="1"/>
    <col min="2" max="2" width="18.28515625" customWidth="1"/>
    <col min="3" max="3" width="18.42578125" customWidth="1"/>
    <col min="4" max="4" width="16.140625" customWidth="1"/>
    <col min="5" max="5" width="18.42578125" customWidth="1"/>
  </cols>
  <sheetData>
    <row r="1" spans="1:5" ht="30" x14ac:dyDescent="0.25">
      <c r="A1" s="1" t="s">
        <v>2</v>
      </c>
      <c r="B1" s="1" t="s">
        <v>113</v>
      </c>
      <c r="C1" s="1" t="s">
        <v>114</v>
      </c>
      <c r="D1" s="1" t="s">
        <v>115</v>
      </c>
      <c r="E1" s="1" t="s">
        <v>116</v>
      </c>
    </row>
    <row r="2" spans="1:5" x14ac:dyDescent="0.25">
      <c r="A2" t="s">
        <v>35</v>
      </c>
      <c r="B2">
        <f>COUNTIF(cleaned!K:K,A2)</f>
        <v>11</v>
      </c>
      <c r="C2">
        <f>SUMIF(cleaned!K:K,A2,cleaned!P:P)</f>
        <v>41040</v>
      </c>
      <c r="D2">
        <f>AVERAGEIF(cleaned!K:K,A2,cleaned!N:N)</f>
        <v>61.2</v>
      </c>
      <c r="E2">
        <f>COUNTIFS(cleaned!K:K,A2,cleaned!R:R,1)</f>
        <v>2</v>
      </c>
    </row>
    <row r="3" spans="1:5" x14ac:dyDescent="0.25">
      <c r="A3" t="s">
        <v>49</v>
      </c>
      <c r="B3">
        <f>COUNTIF(cleaned!K:K,A3)</f>
        <v>11</v>
      </c>
      <c r="C3">
        <f>SUMIF(cleaned!K:K,A3,cleaned!P:P)</f>
        <v>41880</v>
      </c>
      <c r="D3">
        <f>AVERAGEIF(cleaned!K:K,A3,cleaned!N:N)</f>
        <v>69.36363636363636</v>
      </c>
      <c r="E3">
        <f>COUNTIFS(cleaned!K:K,A3,cleaned!R:R,1)</f>
        <v>5</v>
      </c>
    </row>
    <row r="4" spans="1:5" x14ac:dyDescent="0.25">
      <c r="A4" t="s">
        <v>82</v>
      </c>
      <c r="B4">
        <f>COUNTIF(cleaned!K:K,A4)</f>
        <v>2</v>
      </c>
      <c r="C4">
        <f>SUMIF(cleaned!K:K,A4,cleaned!P:P)</f>
        <v>8640</v>
      </c>
      <c r="D4">
        <f>AVERAGEIF(cleaned!K:K,A4,cleaned!N:N)</f>
        <v>40</v>
      </c>
      <c r="E4">
        <f>COUNTIFS(cleaned!K:K,A4,cleaned!R:R,1)</f>
        <v>0</v>
      </c>
    </row>
    <row r="5" spans="1:5" x14ac:dyDescent="0.25">
      <c r="A5" t="s">
        <v>86</v>
      </c>
      <c r="B5">
        <f>COUNTIF(cleaned!K:K,A5)</f>
        <v>2</v>
      </c>
      <c r="C5">
        <f>SUMIF(cleaned!K:K,A5,cleaned!P:P)</f>
        <v>10152</v>
      </c>
      <c r="D5">
        <f>AVERAGEIF(cleaned!K:K,A5,cleaned!N:N)</f>
        <v>54.5</v>
      </c>
      <c r="E5">
        <f>COUNTIFS(cleaned!K:K,A5,cleaned!R:R,1)</f>
        <v>1</v>
      </c>
    </row>
    <row r="6" spans="1:5" x14ac:dyDescent="0.25">
      <c r="A6" t="s">
        <v>97</v>
      </c>
      <c r="B6">
        <f>COUNTIF(cleaned!K:K,A6)</f>
        <v>4</v>
      </c>
      <c r="C6">
        <f>SUMIF(cleaned!K:K,A6,cleaned!P:P)</f>
        <v>14600</v>
      </c>
      <c r="D6">
        <f>AVERAGEIF(cleaned!K:K,A6,cleaned!N:N)</f>
        <v>48.75</v>
      </c>
      <c r="E6">
        <f>COUNTIFS(cleaned!K:K,A6,cleaned!R:R,1)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transactions_raw</vt:lpstr>
      <vt:lpstr>cleaned</vt:lpstr>
      <vt:lpstr>merchant_risk_summary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2026-05-04T15:33:59Z</dcterms:created>
  <dcterms:modified xsi:type="dcterms:W3CDTF">2026-05-05T14:18:30Z</dcterms:modified>
</cp:coreProperties>
</file>